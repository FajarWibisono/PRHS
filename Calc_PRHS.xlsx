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works\5.SAHAM\"/>
    </mc:Choice>
  </mc:AlternateContent>
  <xr:revisionPtr revIDLastSave="0" documentId="8_{0058B714-CD5F-44EF-A696-22025D511935}" xr6:coauthVersionLast="47" xr6:coauthVersionMax="47" xr10:uidLastSave="{00000000-0000-0000-0000-000000000000}"/>
  <bookViews>
    <workbookView xWindow="-108" yWindow="-108" windowWidth="23256" windowHeight="12456" xr2:uid="{884F7FE0-9607-45DD-9F10-5D1C52E4EF3D}"/>
  </bookViews>
  <sheets>
    <sheet name="PRH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1" l="1"/>
  <c r="E21" i="1"/>
  <c r="G16" i="1"/>
  <c r="F16" i="1"/>
  <c r="E16" i="1"/>
  <c r="F15" i="1"/>
  <c r="E15" i="1"/>
  <c r="G15" i="1" s="1"/>
  <c r="E14" i="1"/>
  <c r="F14" i="1" s="1"/>
  <c r="E13" i="1"/>
  <c r="G13" i="1" s="1"/>
  <c r="G12" i="1"/>
  <c r="F12" i="1"/>
  <c r="E12" i="1"/>
  <c r="D4" i="1"/>
  <c r="B4" i="1"/>
  <c r="C22" i="1" l="1"/>
  <c r="F13" i="1"/>
  <c r="G14" i="1"/>
  <c r="G17" i="1" s="1"/>
  <c r="D21" i="1" s="1"/>
  <c r="G21" i="1" s="1"/>
  <c r="G28" i="1" s="1"/>
  <c r="F17" i="1"/>
  <c r="C21" i="1" s="1"/>
  <c r="F21" i="1" s="1"/>
  <c r="F28" i="1" s="1"/>
  <c r="F22" i="1" l="1"/>
  <c r="D28" i="1" s="1"/>
  <c r="D22" i="1"/>
  <c r="G22" i="1" s="1"/>
  <c r="E28" i="1" s="1"/>
</calcChain>
</file>

<file path=xl/sharedStrings.xml><?xml version="1.0" encoding="utf-8"?>
<sst xmlns="http://schemas.openxmlformats.org/spreadsheetml/2006/main" count="40" uniqueCount="36">
  <si>
    <t>EMITEN</t>
  </si>
  <si>
    <t>ABMM</t>
  </si>
  <si>
    <t>Rumus Umum adalah PER = Price / EPS</t>
  </si>
  <si>
    <t xml:space="preserve">1. </t>
  </si>
  <si>
    <t>Price</t>
  </si>
  <si>
    <t>PER</t>
  </si>
  <si>
    <t>EPS</t>
  </si>
  <si>
    <t>2.</t>
  </si>
  <si>
    <t>EPS 5 tahun terakhir</t>
  </si>
  <si>
    <t>thn 2022</t>
  </si>
  <si>
    <t>Histori Valuasi 5 tahun terakhir</t>
  </si>
  <si>
    <t>3.</t>
  </si>
  <si>
    <t xml:space="preserve">thn </t>
  </si>
  <si>
    <t>Price High</t>
  </si>
  <si>
    <t>Price Low</t>
  </si>
  <si>
    <t>PER High</t>
  </si>
  <si>
    <t>PER low</t>
  </si>
  <si>
    <t>rerata</t>
  </si>
  <si>
    <t>estimasi rentang harga 2023</t>
  </si>
  <si>
    <t>Estimasi Rentang Harga</t>
  </si>
  <si>
    <t>PER HIGH</t>
  </si>
  <si>
    <t>PER Low</t>
  </si>
  <si>
    <t>EPS Est. 2023</t>
  </si>
  <si>
    <t>HIGH</t>
  </si>
  <si>
    <t>LOW</t>
  </si>
  <si>
    <t>catatan</t>
  </si>
  <si>
    <t>netral</t>
  </si>
  <si>
    <t>tertinggi</t>
  </si>
  <si>
    <t>optimis</t>
  </si>
  <si>
    <t>isi dengan PER LOW</t>
  </si>
  <si>
    <t>Risk &amp; Reward Ratio</t>
  </si>
  <si>
    <t>Harga Saat ini</t>
  </si>
  <si>
    <t>Skenario Optimis</t>
  </si>
  <si>
    <t>Skenario Netral</t>
  </si>
  <si>
    <t>Reward</t>
  </si>
  <si>
    <t>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</si>
</sst>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_(* #,##0.00_);_(* \(#,##0.00\);_(* &quot;-&quot;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1" applyNumberFormat="1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G\Downloads\Saham_CALC_EMIT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mpleCALC"/>
      <sheetName val="FairPrice"/>
      <sheetName val="rentang"/>
      <sheetName val="EMITEN"/>
      <sheetName val="listed_20230303"/>
    </sheetNames>
    <sheetDataSet>
      <sheetData sheetId="0"/>
      <sheetData sheetId="1"/>
      <sheetData sheetId="2"/>
      <sheetData sheetId="3">
        <row r="4">
          <cell r="B4">
            <v>1254.68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3B673-2E1D-413C-BD8F-B3EB1934C18B}">
  <dimension ref="A1:H28"/>
  <sheetViews>
    <sheetView tabSelected="1" workbookViewId="0">
      <selection activeCell="A29" sqref="A29"/>
    </sheetView>
  </sheetViews>
  <sheetFormatPr defaultRowHeight="14.4" x14ac:dyDescent="0.3"/>
  <cols>
    <col min="1" max="1" width="2.44140625" customWidth="1"/>
    <col min="2" max="2" width="13" customWidth="1"/>
    <col min="3" max="3" width="14.21875" customWidth="1"/>
    <col min="4" max="4" width="12.33203125" customWidth="1"/>
    <col min="6" max="6" width="27.109375" customWidth="1"/>
  </cols>
  <sheetData>
    <row r="1" spans="1:7" ht="21" x14ac:dyDescent="0.3">
      <c r="B1" s="1" t="s">
        <v>0</v>
      </c>
      <c r="C1" s="2" t="s">
        <v>1</v>
      </c>
      <c r="D1" s="1"/>
      <c r="E1" s="1"/>
      <c r="F1" s="1"/>
      <c r="G1" s="1"/>
    </row>
    <row r="2" spans="1:7" ht="15.6" x14ac:dyDescent="0.3">
      <c r="B2" s="3" t="s">
        <v>2</v>
      </c>
      <c r="C2" s="1"/>
      <c r="D2" s="1"/>
      <c r="E2" s="1"/>
      <c r="F2" s="1"/>
      <c r="G2" s="1"/>
    </row>
    <row r="3" spans="1:7" x14ac:dyDescent="0.3">
      <c r="A3" t="s">
        <v>3</v>
      </c>
      <c r="B3" s="1" t="s">
        <v>4</v>
      </c>
      <c r="C3" s="1" t="s">
        <v>5</v>
      </c>
      <c r="D3" s="1" t="s">
        <v>6</v>
      </c>
      <c r="E3" s="1"/>
      <c r="F3" s="1"/>
      <c r="G3" s="1"/>
    </row>
    <row r="4" spans="1:7" x14ac:dyDescent="0.3">
      <c r="B4" s="1">
        <f>C4*D4</f>
        <v>2659.9216000000001</v>
      </c>
      <c r="C4" s="4">
        <v>2.12</v>
      </c>
      <c r="D4" s="4">
        <f>[1]EMITEN!B4</f>
        <v>1254.68</v>
      </c>
      <c r="E4" s="1"/>
      <c r="F4" s="1"/>
      <c r="G4" s="1"/>
    </row>
    <row r="5" spans="1:7" x14ac:dyDescent="0.3">
      <c r="B5" s="1"/>
      <c r="C5" s="1"/>
      <c r="D5" s="1"/>
      <c r="E5" s="1"/>
      <c r="F5" s="1"/>
      <c r="G5" s="1"/>
    </row>
    <row r="6" spans="1:7" ht="15.6" x14ac:dyDescent="0.3">
      <c r="A6" t="s">
        <v>7</v>
      </c>
      <c r="B6" s="3" t="s">
        <v>8</v>
      </c>
      <c r="C6" s="1"/>
      <c r="D6" s="1"/>
      <c r="E6" s="1"/>
      <c r="F6" s="1"/>
      <c r="G6" s="1"/>
    </row>
    <row r="7" spans="1:7" x14ac:dyDescent="0.3">
      <c r="B7" s="1" t="s">
        <v>9</v>
      </c>
      <c r="C7" s="1">
        <v>2021</v>
      </c>
      <c r="D7" s="1">
        <v>2020</v>
      </c>
      <c r="E7" s="1">
        <v>2019</v>
      </c>
      <c r="F7" s="1">
        <v>2018</v>
      </c>
      <c r="G7" s="1"/>
    </row>
    <row r="8" spans="1:7" x14ac:dyDescent="0.3">
      <c r="B8" s="5">
        <v>1223.72</v>
      </c>
      <c r="C8" s="4">
        <v>754.24</v>
      </c>
      <c r="D8" s="4">
        <v>-179.63</v>
      </c>
      <c r="E8" s="4">
        <v>37.520000000000003</v>
      </c>
      <c r="F8" s="4">
        <v>338.71</v>
      </c>
      <c r="G8" s="1"/>
    </row>
    <row r="9" spans="1:7" x14ac:dyDescent="0.3">
      <c r="B9" s="1"/>
      <c r="C9" s="1"/>
      <c r="D9" s="1"/>
      <c r="E9" s="1"/>
      <c r="F9" s="1"/>
      <c r="G9" s="1"/>
    </row>
    <row r="10" spans="1:7" ht="15.6" x14ac:dyDescent="0.3">
      <c r="B10" s="3" t="s">
        <v>10</v>
      </c>
      <c r="C10" s="1"/>
      <c r="D10" s="1"/>
      <c r="E10" s="1"/>
      <c r="F10" s="1"/>
      <c r="G10" s="1"/>
    </row>
    <row r="11" spans="1:7" x14ac:dyDescent="0.3">
      <c r="A11" t="s">
        <v>11</v>
      </c>
      <c r="B11" s="6" t="s">
        <v>12</v>
      </c>
      <c r="C11" s="7" t="s">
        <v>13</v>
      </c>
      <c r="D11" s="7" t="s">
        <v>14</v>
      </c>
      <c r="E11" s="7" t="s">
        <v>6</v>
      </c>
      <c r="F11" s="7" t="s">
        <v>15</v>
      </c>
      <c r="G11" s="7" t="s">
        <v>16</v>
      </c>
    </row>
    <row r="12" spans="1:7" x14ac:dyDescent="0.3">
      <c r="B12" s="6">
        <v>2022</v>
      </c>
      <c r="C12" s="8">
        <v>4900</v>
      </c>
      <c r="D12" s="8">
        <v>1325</v>
      </c>
      <c r="E12" s="6">
        <f>B8</f>
        <v>1223.72</v>
      </c>
      <c r="F12" s="6">
        <f>C12/E12</f>
        <v>4.0041839636518155</v>
      </c>
      <c r="G12" s="6">
        <f>D12/E12</f>
        <v>1.0827640309874809</v>
      </c>
    </row>
    <row r="13" spans="1:7" x14ac:dyDescent="0.3">
      <c r="B13" s="6">
        <v>2021</v>
      </c>
      <c r="C13" s="8">
        <v>1710</v>
      </c>
      <c r="D13" s="8">
        <v>695</v>
      </c>
      <c r="E13" s="6">
        <f>C8</f>
        <v>754.24</v>
      </c>
      <c r="F13" s="6">
        <f t="shared" ref="F13:F16" si="0">C13/E13</f>
        <v>2.2671828595672463</v>
      </c>
      <c r="G13" s="6">
        <f t="shared" ref="G13:G16" si="1">D13/E13</f>
        <v>0.92145736105218501</v>
      </c>
    </row>
    <row r="14" spans="1:7" x14ac:dyDescent="0.3">
      <c r="B14" s="6">
        <v>2020</v>
      </c>
      <c r="C14" s="8">
        <v>1540</v>
      </c>
      <c r="D14" s="8">
        <v>695</v>
      </c>
      <c r="E14" s="6">
        <f>D8</f>
        <v>-179.63</v>
      </c>
      <c r="F14" s="6">
        <f t="shared" si="0"/>
        <v>-8.5731781996325775</v>
      </c>
      <c r="G14" s="6">
        <f t="shared" si="1"/>
        <v>-3.8690641874965208</v>
      </c>
    </row>
    <row r="15" spans="1:7" x14ac:dyDescent="0.3">
      <c r="B15" s="6">
        <v>2019</v>
      </c>
      <c r="C15" s="8">
        <v>2300</v>
      </c>
      <c r="D15" s="8">
        <v>1290</v>
      </c>
      <c r="E15" s="6">
        <f>E8</f>
        <v>37.520000000000003</v>
      </c>
      <c r="F15" s="6">
        <f t="shared" si="0"/>
        <v>61.30063965884861</v>
      </c>
      <c r="G15" s="6">
        <f t="shared" si="1"/>
        <v>34.381663113006397</v>
      </c>
    </row>
    <row r="16" spans="1:7" x14ac:dyDescent="0.3">
      <c r="B16" s="6">
        <v>2018</v>
      </c>
      <c r="C16" s="8">
        <v>2350</v>
      </c>
      <c r="D16" s="8">
        <v>1625</v>
      </c>
      <c r="E16" s="6">
        <f>F8</f>
        <v>338.71</v>
      </c>
      <c r="F16" s="6">
        <f t="shared" si="0"/>
        <v>6.938088630391781</v>
      </c>
      <c r="G16" s="6">
        <f t="shared" si="1"/>
        <v>4.7976144784624015</v>
      </c>
    </row>
    <row r="17" spans="1:8" x14ac:dyDescent="0.3">
      <c r="B17" s="1"/>
      <c r="C17" s="1"/>
      <c r="D17" s="1"/>
      <c r="E17" s="1" t="s">
        <v>17</v>
      </c>
      <c r="F17" s="9">
        <f>AVERAGE(F12:F16)</f>
        <v>13.187383382565375</v>
      </c>
      <c r="G17" s="9">
        <f>AVERAGE(G12:G16)</f>
        <v>7.4628869592023888</v>
      </c>
    </row>
    <row r="18" spans="1:8" x14ac:dyDescent="0.3">
      <c r="B18" s="1"/>
      <c r="C18" s="1"/>
      <c r="D18" s="1"/>
      <c r="E18" s="1"/>
      <c r="F18" s="1"/>
      <c r="G18" s="1"/>
    </row>
    <row r="19" spans="1:8" ht="15.6" x14ac:dyDescent="0.3">
      <c r="A19">
        <v>4</v>
      </c>
      <c r="B19" s="3" t="s">
        <v>18</v>
      </c>
      <c r="C19" s="1"/>
      <c r="D19" s="1"/>
      <c r="E19" s="1"/>
      <c r="F19" s="10" t="s">
        <v>19</v>
      </c>
      <c r="G19" s="11"/>
      <c r="H19" s="11"/>
    </row>
    <row r="20" spans="1:8" x14ac:dyDescent="0.3">
      <c r="B20" s="6"/>
      <c r="C20" s="6" t="s">
        <v>20</v>
      </c>
      <c r="D20" s="6" t="s">
        <v>21</v>
      </c>
      <c r="E20" s="6" t="s">
        <v>22</v>
      </c>
      <c r="F20" s="6" t="s">
        <v>23</v>
      </c>
      <c r="G20" s="6" t="s">
        <v>24</v>
      </c>
      <c r="H20" s="6" t="s">
        <v>25</v>
      </c>
    </row>
    <row r="21" spans="1:8" ht="15.6" x14ac:dyDescent="0.3">
      <c r="B21" s="6" t="s">
        <v>17</v>
      </c>
      <c r="C21" s="12">
        <f>F17</f>
        <v>13.187383382565375</v>
      </c>
      <c r="D21" s="12">
        <f>G17</f>
        <v>7.4628869592023888</v>
      </c>
      <c r="E21" s="13">
        <f>B8</f>
        <v>1223.72</v>
      </c>
      <c r="F21" s="14">
        <f>C21*E21</f>
        <v>16137.664792912901</v>
      </c>
      <c r="G21" s="14">
        <f>E21*D21</f>
        <v>9132.4840297151477</v>
      </c>
      <c r="H21" s="7" t="s">
        <v>26</v>
      </c>
    </row>
    <row r="22" spans="1:8" ht="15.6" x14ac:dyDescent="0.3">
      <c r="B22" s="6" t="s">
        <v>27</v>
      </c>
      <c r="C22" s="12">
        <f>MAX(F12:F16)</f>
        <v>61.30063965884861</v>
      </c>
      <c r="D22" s="6">
        <f>VLOOKUP(C22,$F$12:$G$16,2,0)</f>
        <v>34.381663113006397</v>
      </c>
      <c r="E22" s="13">
        <f>B8</f>
        <v>1223.72</v>
      </c>
      <c r="F22" s="14">
        <f>C22*E22</f>
        <v>75014.818763326228</v>
      </c>
      <c r="G22" s="14">
        <f>E22*D22</f>
        <v>42073.528784648188</v>
      </c>
      <c r="H22" s="7" t="s">
        <v>28</v>
      </c>
    </row>
    <row r="23" spans="1:8" x14ac:dyDescent="0.3">
      <c r="B23" s="1"/>
      <c r="C23" s="1"/>
      <c r="D23" s="15" t="s">
        <v>29</v>
      </c>
      <c r="E23" s="1"/>
      <c r="F23" s="1"/>
      <c r="G23" s="1"/>
    </row>
    <row r="24" spans="1:8" x14ac:dyDescent="0.3">
      <c r="B24" s="1"/>
      <c r="C24" s="1"/>
      <c r="D24" s="1"/>
      <c r="E24" s="1"/>
      <c r="F24" s="1"/>
      <c r="G24" s="1"/>
    </row>
    <row r="25" spans="1:8" ht="15.6" x14ac:dyDescent="0.3">
      <c r="A25">
        <v>5</v>
      </c>
      <c r="B25" s="3" t="s">
        <v>30</v>
      </c>
      <c r="C25" s="1"/>
      <c r="D25" s="1"/>
      <c r="E25" s="1"/>
      <c r="F25" s="1"/>
      <c r="G25" s="1"/>
    </row>
    <row r="26" spans="1:8" x14ac:dyDescent="0.3">
      <c r="B26" s="1" t="s">
        <v>31</v>
      </c>
      <c r="C26" s="4">
        <v>2780</v>
      </c>
      <c r="D26" s="16" t="s">
        <v>32</v>
      </c>
      <c r="E26" s="16"/>
      <c r="F26" s="16" t="s">
        <v>33</v>
      </c>
      <c r="G26" s="16"/>
    </row>
    <row r="27" spans="1:8" x14ac:dyDescent="0.3">
      <c r="B27" s="1"/>
      <c r="C27" s="1"/>
      <c r="D27" s="1" t="s">
        <v>34</v>
      </c>
      <c r="E27" s="1" t="s">
        <v>35</v>
      </c>
      <c r="F27" s="1" t="s">
        <v>34</v>
      </c>
      <c r="G27" s="1" t="s">
        <v>35</v>
      </c>
    </row>
    <row r="28" spans="1:8" x14ac:dyDescent="0.3">
      <c r="B28" s="1"/>
      <c r="C28" s="1"/>
      <c r="D28" s="1">
        <f>(F22-C26)</f>
        <v>72234.818763326228</v>
      </c>
      <c r="E28" s="1">
        <f>(G22-C26)</f>
        <v>39293.528784648188</v>
      </c>
      <c r="F28" s="1">
        <f>(F21-C26)</f>
        <v>13357.664792912901</v>
      </c>
      <c r="G28" s="1">
        <f>G21-C26</f>
        <v>6352.4840297151477</v>
      </c>
    </row>
  </sheetData>
  <mergeCells count="3">
    <mergeCell ref="F19:H19"/>
    <mergeCell ref="D26:E26"/>
    <mergeCell ref="F26:G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wibisono</dc:creator>
  <cp:lastModifiedBy>Fajar wibisono</cp:lastModifiedBy>
  <dcterms:created xsi:type="dcterms:W3CDTF">2025-07-23T08:23:03Z</dcterms:created>
  <dcterms:modified xsi:type="dcterms:W3CDTF">2025-07-23T08:25:46Z</dcterms:modified>
</cp:coreProperties>
</file>